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otización" sheetId="1" state="visible" r:id="rId1"/>
    <sheet name="Comparar 3 precios" sheetId="2" state="visible" r:id="rId2"/>
    <sheet name="Cómo usar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0%"/>
  </numFmts>
  <fonts count="9">
    <font>
      <name val="Calibri"/>
      <family val="2"/>
      <color theme="1"/>
      <sz val="11"/>
      <scheme val="minor"/>
    </font>
    <font>
      <b val="1"/>
      <color rgb="00FFFFFF"/>
      <sz val="14"/>
    </font>
    <font>
      <i val="1"/>
      <color rgb="00555555"/>
      <sz val="9"/>
    </font>
    <font>
      <b val="1"/>
      <color rgb="00FFFFFF"/>
      <sz val="11"/>
    </font>
    <font>
      <b val="1"/>
      <sz val="12"/>
    </font>
    <font>
      <b val="1"/>
    </font>
    <font>
      <i val="1"/>
      <color rgb="00666666"/>
      <sz val="9"/>
    </font>
    <font>
      <b val="1"/>
      <color rgb="00FFFFFF"/>
      <sz val="13"/>
    </font>
    <font>
      <b val="1"/>
      <color rgb="00FFFFFF"/>
    </font>
  </fonts>
  <fills count="5">
    <fill>
      <patternFill/>
    </fill>
    <fill>
      <patternFill patternType="gray125"/>
    </fill>
    <fill>
      <patternFill patternType="solid">
        <fgColor rgb="001F4E79"/>
      </patternFill>
    </fill>
    <fill>
      <patternFill patternType="solid">
        <fgColor rgb="00DDEBF7"/>
      </patternFill>
    </fill>
    <fill>
      <patternFill patternType="solid">
        <fgColor rgb="00E2EFDA"/>
      </patternFill>
    </fill>
  </fills>
  <borders count="2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15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0" borderId="0" pivotButton="0" quotePrefix="0" xfId="0"/>
    <xf numFmtId="0" fontId="3" fillId="2" borderId="0" pivotButton="0" quotePrefix="0" xfId="0"/>
    <xf numFmtId="0" fontId="0" fillId="3" borderId="1" pivotButton="0" quotePrefix="0" xfId="0"/>
    <xf numFmtId="0" fontId="0" fillId="0" borderId="1" pivotButton="0" quotePrefix="0" xfId="0"/>
    <xf numFmtId="4" fontId="0" fillId="0" borderId="1" pivotButton="0" quotePrefix="0" xfId="0"/>
    <xf numFmtId="4" fontId="4" fillId="4" borderId="1" pivotButton="0" quotePrefix="0" xfId="0"/>
    <xf numFmtId="4" fontId="5" fillId="4" borderId="1" pivotButton="0" quotePrefix="0" xfId="0"/>
    <xf numFmtId="164" fontId="5" fillId="4" borderId="1" pivotButton="0" quotePrefix="0" xfId="0"/>
    <xf numFmtId="0" fontId="6" fillId="0" borderId="0" pivotButton="0" quotePrefix="0" xfId="0"/>
    <xf numFmtId="0" fontId="7" fillId="2" borderId="0" pivotButton="0" quotePrefix="0" xfId="0"/>
    <xf numFmtId="0" fontId="8" fillId="2" borderId="1" applyAlignment="1" pivotButton="0" quotePrefix="0" xfId="0">
      <alignment horizontal="center"/>
    </xf>
    <xf numFmtId="0" fontId="5" fillId="0" borderId="0" applyAlignment="1" pivotButton="0" quotePrefix="0" xfId="0">
      <alignment vertical="top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31"/>
  <sheetViews>
    <sheetView workbookViewId="0">
      <selection activeCell="A1" sqref="A1"/>
    </sheetView>
  </sheetViews>
  <sheetFormatPr baseColWidth="8" defaultRowHeight="15"/>
  <cols>
    <col width="36" customWidth="1" min="1" max="1"/>
    <col width="16" customWidth="1" min="2" max="2"/>
    <col width="14" customWidth="1" min="3" max="3"/>
    <col width="14" customWidth="1" min="4" max="4"/>
  </cols>
  <sheetData>
    <row r="1" ht="26" customHeight="1">
      <c r="A1" s="1" t="inlineStr">
        <is>
          <t>CALCULADORA DE COTIZACIÓN — Freelancers y PYMEs (México)</t>
        </is>
      </c>
    </row>
    <row r="2">
      <c r="A2" s="2" t="inlineStr">
        <is>
          <t>IVA 16%  ·  ISR provisional 1.15%  ·  Retención IVA personas físicas 8.33%</t>
        </is>
      </c>
    </row>
    <row r="4">
      <c r="A4" s="3" t="inlineStr">
        <is>
          <t>PARÁMETROS  (cambia estos números)</t>
        </is>
      </c>
    </row>
    <row r="5">
      <c r="A5" s="4" t="inlineStr">
        <is>
          <t>Tipo de cliente</t>
        </is>
      </c>
      <c r="B5" s="5" t="inlineStr">
        <is>
          <t>Física</t>
        </is>
      </c>
    </row>
    <row r="6">
      <c r="A6" s="4" t="inlineStr">
        <is>
          <t>Horas de trabajo</t>
        </is>
      </c>
      <c r="B6" s="5" t="n">
        <v>40</v>
      </c>
    </row>
    <row r="7">
      <c r="A7" s="4" t="inlineStr">
        <is>
          <t>Costo por hora</t>
        </is>
      </c>
      <c r="B7" s="6" t="n">
        <v>300</v>
      </c>
    </row>
    <row r="8">
      <c r="A8" s="4" t="inlineStr">
        <is>
          <t>Gastos deducibles del mes</t>
        </is>
      </c>
      <c r="B8" s="6" t="n">
        <v>2000</v>
      </c>
    </row>
    <row r="9">
      <c r="A9" s="4" t="inlineStr">
        <is>
          <t>Días de crédito que te dan</t>
        </is>
      </c>
      <c r="B9" s="5" t="n">
        <v>30</v>
      </c>
    </row>
    <row r="18">
      <c r="A18" s="3" t="inlineStr">
        <is>
          <t>CÁLCULO</t>
        </is>
      </c>
    </row>
    <row r="19">
      <c r="A19" s="4" t="inlineStr">
        <is>
          <t>Horas × costo/hora − gastos deducibles</t>
        </is>
      </c>
    </row>
    <row r="20">
      <c r="B20" s="7">
        <f>B6*B7-B8</f>
        <v/>
      </c>
    </row>
    <row r="22">
      <c r="A22" s="3" t="inlineStr">
        <is>
          <t>RESULTADO</t>
        </is>
      </c>
    </row>
    <row r="23">
      <c r="A23" s="5" t="inlineStr">
        <is>
          <t>Subtotal antes de impuestos</t>
        </is>
      </c>
      <c r="B23" s="8">
        <f>B20</f>
        <v/>
      </c>
    </row>
    <row r="24">
      <c r="A24" s="5" t="inlineStr">
        <is>
          <t>IVA que se le cobra al cliente (16%)</t>
        </is>
      </c>
      <c r="B24" s="8">
        <f>B23*0.16</f>
        <v/>
      </c>
    </row>
    <row r="25">
      <c r="A25" s="5" t="inlineStr">
        <is>
          <t>Total que paga el cliente</t>
        </is>
      </c>
      <c r="B25" s="8">
        <f>B23+B24</f>
        <v/>
      </c>
    </row>
    <row r="26">
      <c r="A26" s="5" t="inlineStr">
        <is>
          <t>Retención ISR a cuenta (1.15%)</t>
        </is>
      </c>
      <c r="B26" s="8">
        <f>B23*0.0115</f>
        <v/>
      </c>
    </row>
    <row r="27">
      <c r="A27" s="5" t="inlineStr">
        <is>
          <t>Retención IVA honorarios (8.33%)</t>
        </is>
      </c>
      <c r="B27" s="8">
        <f>B23*0.0833</f>
        <v/>
      </c>
    </row>
    <row r="28">
      <c r="A28" s="5" t="inlineStr">
        <is>
          <t>NETO que recibes</t>
        </is>
      </c>
      <c r="B28" s="8">
        <f>B23-B26-B27</f>
        <v/>
      </c>
    </row>
    <row r="29">
      <c r="A29" s="5" t="inlineStr">
        <is>
          <t>Margen bruto</t>
        </is>
      </c>
      <c r="B29" s="9">
        <f>(B23-B6-B7)/B23</f>
        <v/>
      </c>
    </row>
    <row r="31">
      <c r="A31" s="10" t="inlineStr">
        <is>
          <t>Nota: si tu cliente es moral (empresa), normalmente no te retiene IVA honorarios. Cambia 'Tipo de cliente' según el caso.</t>
        </is>
      </c>
    </row>
  </sheetData>
  <mergeCells count="6">
    <mergeCell ref="A1:D1"/>
    <mergeCell ref="A18:D18"/>
    <mergeCell ref="A31:D31"/>
    <mergeCell ref="A22:D22"/>
    <mergeCell ref="A4:D4"/>
    <mergeCell ref="A2:D2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8"/>
  <sheetViews>
    <sheetView workbookViewId="0">
      <selection activeCell="A1" sqref="A1"/>
    </sheetView>
  </sheetViews>
  <sheetFormatPr baseColWidth="8" defaultRowHeight="15"/>
  <cols>
    <col width="28" customWidth="1" min="1" max="1"/>
    <col width="14" customWidth="1" min="2" max="2"/>
    <col width="14" customWidth="1" min="3" max="3"/>
    <col width="14" customWidth="1" min="4" max="4"/>
    <col width="30" customWidth="1" min="5" max="5"/>
  </cols>
  <sheetData>
    <row r="1">
      <c r="A1" s="11" t="inlineStr">
        <is>
          <t>COMPARADOR — pon tres precios y mira el neto, no el bruto</t>
        </is>
      </c>
    </row>
    <row r="3">
      <c r="A3" s="12" t="inlineStr">
        <is>
          <t>Concepto</t>
        </is>
      </c>
      <c r="B3" s="12" t="inlineStr">
        <is>
          <t>Opción A</t>
        </is>
      </c>
      <c r="C3" s="12" t="inlineStr">
        <is>
          <t>Opción B</t>
        </is>
      </c>
      <c r="D3" s="12" t="inlineStr">
        <is>
          <t>Opción C</t>
        </is>
      </c>
      <c r="E3" s="12" t="inlineStr">
        <is>
          <t>Nota</t>
        </is>
      </c>
    </row>
    <row r="4">
      <c r="A4" s="4" t="inlineStr">
        <is>
          <t>Precio antes de impuestos</t>
        </is>
      </c>
      <c r="B4" s="6" t="n">
        <v>0</v>
      </c>
      <c r="C4" s="6" t="n">
        <v>0</v>
      </c>
      <c r="D4" s="6" t="n">
        <v>0</v>
      </c>
      <c r="E4" s="5" t="inlineStr">
        <is>
          <t>lo que pides</t>
        </is>
      </c>
    </row>
    <row r="5">
      <c r="A5" s="4" t="inlineStr">
        <is>
          <t>IVA 16%</t>
        </is>
      </c>
      <c r="B5" s="6">
        <f>B4*0.16</f>
        <v/>
      </c>
      <c r="C5" s="6">
        <f>C4*0.16</f>
        <v/>
      </c>
      <c r="D5" s="6">
        <f>D4*0.16</f>
        <v/>
      </c>
      <c r="E5" s="5" t="inlineStr">
        <is>
          <t>lo que te retienen</t>
        </is>
      </c>
    </row>
    <row r="6">
      <c r="A6" s="4" t="inlineStr">
        <is>
          <t>Total con IVA</t>
        </is>
      </c>
      <c r="B6" s="6">
        <f>B4+B5</f>
        <v/>
      </c>
      <c r="C6" s="6">
        <f>C4+C5</f>
        <v/>
      </c>
      <c r="D6" s="6">
        <f>D4+D5</f>
        <v/>
      </c>
      <c r="E6" s="5" t="n"/>
    </row>
    <row r="7">
      <c r="A7" s="4" t="inlineStr">
        <is>
          <t>Retenciones (ISR + IVA)</t>
        </is>
      </c>
      <c r="B7" s="6">
        <f>B4*(0.0115+0.0833)</f>
        <v/>
      </c>
      <c r="C7" s="6">
        <f>C4*(0.0115+0.0833)</f>
        <v/>
      </c>
      <c r="D7" s="6">
        <f>D4*(0.0115+0.0833)</f>
        <v/>
      </c>
      <c r="E7" s="5" t="inlineStr">
        <is>
          <t>físicas: ISR 1.15% + IVA 8.33%</t>
        </is>
      </c>
    </row>
    <row r="8">
      <c r="A8" s="4" t="inlineStr">
        <is>
          <t>NETO que recibes</t>
        </is>
      </c>
      <c r="B8" s="8">
        <f>B6-B7</f>
        <v/>
      </c>
      <c r="C8" s="8">
        <f>C6-C7</f>
        <v/>
      </c>
      <c r="D8" s="8">
        <f>D6-D7</f>
        <v/>
      </c>
      <c r="E8" s="5" t="n"/>
    </row>
  </sheetData>
  <mergeCells count="1">
    <mergeCell ref="A1:E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8"/>
  <sheetViews>
    <sheetView workbookViewId="0">
      <selection activeCell="A1" sqref="A1"/>
    </sheetView>
  </sheetViews>
  <sheetFormatPr baseColWidth="8" defaultRowHeight="15"/>
  <cols>
    <col width="24" customWidth="1" min="1" max="1"/>
    <col width="78" customWidth="1" min="2" max="2"/>
  </cols>
  <sheetData>
    <row r="1">
      <c r="A1" s="11" t="inlineStr">
        <is>
          <t>CÓMO USAR ESTA CALCULADORA</t>
        </is>
      </c>
    </row>
    <row r="3" ht="34" customHeight="1">
      <c r="A3" s="13" t="inlineStr">
        <is>
          <t>1. Hoja Cotización</t>
        </is>
      </c>
      <c r="B3" s="14" t="inlineStr">
        <is>
          <t>Cambia horas, costo por hora y gastos deducibles. El subtotal, los impuestos, el neto y el margen se recalculan solos.</t>
        </is>
      </c>
    </row>
    <row r="4" ht="34" customHeight="1">
      <c r="A4" s="13" t="inlineStr">
        <is>
          <t>2. Tipo de cliente</t>
        </is>
      </c>
      <c r="B4" s="14" t="inlineStr">
        <is>
          <t>Persona física: el cliente te retiene 8.33% de IVA y 1.15% de ISR. Empresa (moral): normalmente solo IVA, sin retención de honorarios.</t>
        </is>
      </c>
    </row>
    <row r="5" ht="34" customHeight="1">
      <c r="A5" s="13" t="inlineStr">
        <is>
          <t>3. Hoja Comparar</t>
        </is>
      </c>
      <c r="B5" s="14" t="inlineStr">
        <is>
          <t>Pon tres precios distintos en las columnas y mira cuál deja más neto. El precio más alto no siempre es el mejor para ti.</t>
        </is>
      </c>
    </row>
    <row r="6" ht="34" customHeight="1">
      <c r="A6" s="13" t="inlineStr">
        <is>
          <t>4. Días de crédito</t>
        </is>
      </c>
      <c r="B6" s="14" t="inlineStr">
        <is>
          <t>Si te pagan a 60 días, ese dinero no lo tienes hoy. Carga un anticipo.</t>
        </is>
      </c>
    </row>
    <row r="7" ht="34" customHeight="1">
      <c r="A7" s="13" t="inlineStr">
        <is>
          <t>Para qué sirve</t>
        </is>
      </c>
      <c r="B7" s="14" t="inlineStr">
        <is>
          <t>Para saber cuánto te queda DE VERDAD antes de aceptar un proyecto, y para saber qué precio tienes que poner para ganarte X.</t>
        </is>
      </c>
    </row>
    <row r="8" ht="34" customHeight="1">
      <c r="A8" s="13" t="inlineStr">
        <is>
          <t>Aviso</t>
        </is>
      </c>
      <c r="B8" s="14" t="inlineStr">
        <is>
          <t>Es una herramienta de trabajo, no asesoría fiscal. Para tu caso específico consulta a un contador.</t>
        </is>
      </c>
    </row>
  </sheetData>
  <mergeCells count="1">
    <mergeCell ref="A1:B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2026-09-27T08:37:56Z</dcterms:created>
  <dcterms:modified xsi:type="dcterms:W3CDTF">2026-09-27T08:37:56Z</dcterms:modified>
</cp:coreProperties>
</file>
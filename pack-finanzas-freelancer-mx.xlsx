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Flujo 12 meses" sheetId="2" state="visible" r:id="rId2"/>
    <sheet name="Facturas pendientes" sheetId="3" state="visible" r:id="rId3"/>
    <sheet name="Cómo us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555555"/>
      <sz val="9"/>
    </font>
    <font>
      <b val="1"/>
    </font>
    <font>
      <i val="1"/>
      <color rgb="00666666"/>
      <sz val="9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2" borderId="0" pivotButton="0" quotePrefix="0" xfId="0"/>
    <xf numFmtId="0" fontId="0" fillId="3" borderId="1" pivotButton="0" quotePrefix="0" xfId="0"/>
    <xf numFmtId="4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2" fillId="3" borderId="0" pivotButton="0" quotePrefix="0" xfId="0"/>
    <xf numFmtId="4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6" fillId="3" borderId="1" pivotButton="0" quotePrefix="0" xfId="0"/>
    <xf numFmtId="0" fontId="4" fillId="4" borderId="1" pivotButton="0" quotePrefix="0" xfId="0"/>
    <xf numFmtId="0" fontId="0" fillId="0" borderId="0" applyAlignment="1" pivotButton="0" quotePrefix="0" xfId="0">
      <alignment vertical="top" wrapText="1"/>
    </xf>
    <xf numFmtId="4" fontId="0" fillId="4" borderId="1" pivotButton="0" quotePrefix="0" xfId="0"/>
    <xf numFmtId="0" fontId="0" fillId="5" borderId="1" pivotButton="0" quotePrefix="0" xfId="0"/>
    <xf numFmtId="4" fontId="4" fillId="5" borderId="1" pivotButton="0" quotePrefix="0" xfId="0"/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2" customWidth="1" min="3" max="3"/>
    <col width="15" customWidth="1" min="4" max="4"/>
    <col width="13" customWidth="1" min="5" max="5"/>
  </cols>
  <sheetData>
    <row r="1" ht="26" customHeight="1">
      <c r="A1" s="1" t="inlineStr">
        <is>
          <t>CONTROL DE GASTOS — Freelancer / PYME (México)</t>
        </is>
      </c>
    </row>
    <row r="3">
      <c r="A3" s="2" t="inlineStr">
        <is>
          <t>Fecha</t>
        </is>
      </c>
      <c r="B3" s="2" t="inlineStr">
        <is>
          <t>Categoría</t>
        </is>
      </c>
      <c r="C3" s="2" t="inlineStr">
        <is>
          <t>Concepto</t>
        </is>
      </c>
      <c r="D3" s="2" t="inlineStr">
        <is>
          <t>Monto</t>
        </is>
      </c>
      <c r="E3" s="2" t="inlineStr">
        <is>
          <t>Deducible</t>
        </is>
      </c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4" t="inlineStr">
        <is>
          <t>CATÁLOGOS</t>
        </is>
      </c>
      <c r="B9" s="3" t="n"/>
      <c r="C9" s="3" t="n"/>
      <c r="D9" s="3" t="n"/>
      <c r="E9" s="3" t="n"/>
    </row>
    <row r="10">
      <c r="A10" s="5" t="inlineStr">
        <is>
          <t>Servicios (internet, luz, teléfono)</t>
        </is>
      </c>
      <c r="B10" s="3" t="n"/>
      <c r="C10" s="3" t="n"/>
      <c r="D10" s="3" t="n"/>
      <c r="E10" s="3" t="n"/>
    </row>
    <row r="11">
      <c r="A11" s="5" t="inlineStr">
        <is>
          <t>Equipo (laptop, monitor, periféricos)</t>
        </is>
      </c>
      <c r="B11" s="3" t="n"/>
      <c r="C11" s="3" t="n"/>
      <c r="D11" s="3" t="n"/>
      <c r="E11" s="3" t="n"/>
    </row>
    <row r="12">
      <c r="A12" s="5" t="inlineStr">
        <is>
          <t>Software y suscripciones</t>
        </is>
      </c>
      <c r="B12" s="3" t="n"/>
      <c r="C12" s="3" t="n"/>
      <c r="D12" s="3" t="n"/>
      <c r="E12" s="3" t="n"/>
    </row>
    <row r="13">
      <c r="A13" s="5" t="inlineStr">
        <is>
          <t>Transporte y gasolina</t>
        </is>
      </c>
      <c r="B13" s="3" t="n"/>
      <c r="C13" s="3" t="n"/>
      <c r="D13" s="3" t="n"/>
      <c r="E13" s="3" t="n"/>
    </row>
    <row r="14">
      <c r="A14" s="5" t="inlineStr">
        <is>
          <t>Alimentos (fuera / dentro)</t>
        </is>
      </c>
      <c r="B14" s="3" t="n"/>
      <c r="C14" s="3" t="n"/>
      <c r="D14" s="3" t="n"/>
      <c r="E14" s="3" t="n"/>
    </row>
    <row r="15">
      <c r="A15" s="5" t="inlineStr">
        <is>
          <t>Capacitación y cursos</t>
        </is>
      </c>
      <c r="B15" s="3" t="n"/>
      <c r="C15" s="3" t="n"/>
      <c r="D15" s="3" t="n"/>
      <c r="E15" s="3" t="n"/>
    </row>
    <row r="16">
      <c r="A16" s="5" t="inlineStr">
        <is>
          <t>Gastos financieros (intereses)</t>
        </is>
      </c>
      <c r="B16" s="3" t="n"/>
      <c r="C16" s="3" t="n"/>
      <c r="D16" s="3" t="n"/>
      <c r="E16" s="3" t="n"/>
    </row>
    <row r="17">
      <c r="A17" s="5" t="inlineStr">
        <is>
          <t>Otros</t>
        </is>
      </c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52">
      <c r="A52" s="6" t="inlineStr">
        <is>
          <t>RESUMEN DEL MES</t>
        </is>
      </c>
    </row>
    <row r="53">
      <c r="A53" s="7" t="inlineStr">
        <is>
          <t>Total gastado</t>
        </is>
      </c>
      <c r="B53" s="8">
        <f>SUM(D4:D43)</f>
        <v/>
      </c>
    </row>
    <row r="54">
      <c r="A54" s="7" t="inlineStr">
        <is>
          <t>Total deducible</t>
        </is>
      </c>
      <c r="B54" s="8">
        <f>SUMIF(E4:E43,"Sí",D4:D43)</f>
        <v/>
      </c>
    </row>
    <row r="55">
      <c r="A55" s="7" t="inlineStr">
        <is>
          <t>Gasto no deducible</t>
        </is>
      </c>
      <c r="B55" s="8">
        <f>SUMIF(E4:E43,"No",D4:D43)</f>
        <v/>
      </c>
    </row>
    <row r="56">
      <c r="A56" s="7" t="inlineStr">
        <is>
          <t>% deducible</t>
        </is>
      </c>
      <c r="B56" s="9">
        <f>IF(B53=0,0,B54/B53)</f>
        <v/>
      </c>
    </row>
    <row r="57">
      <c r="A57" s="7" t="inlineStr">
        <is>
          <t>IVA pagado en gastos</t>
        </is>
      </c>
      <c r="B57" s="8">
        <f>B53*0.16</f>
        <v/>
      </c>
    </row>
    <row r="59">
      <c r="A59" s="10" t="inlineStr">
        <is>
          <t>Tip: marca como deducible solo lo que puedes comprobar con factura. El SAT pide CFDI para esto.</t>
        </is>
      </c>
    </row>
  </sheetData>
  <mergeCells count="2">
    <mergeCell ref="A1:E1"/>
    <mergeCell ref="A52:C52"/>
  </mergeCells>
  <conditionalFormatting sqref="D4:D43">
    <cfRule type="dataBar" priority="1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1" t="inlineStr">
        <is>
          <t>PROYECCIÓN DE FLUJO DE CAJA — 12 meses</t>
        </is>
      </c>
    </row>
    <row r="3">
      <c r="A3" s="11" t="inlineStr">
        <is>
          <t>Parámetros</t>
        </is>
      </c>
    </row>
    <row r="4">
      <c r="A4" s="7" t="inlineStr">
        <is>
          <t>Ingreso mensual promedio</t>
        </is>
      </c>
      <c r="B4" s="12" t="n">
        <v>45000</v>
      </c>
    </row>
    <row r="5">
      <c r="A5" s="7" t="inlineStr">
        <is>
          <t>Costo mensual fijo</t>
        </is>
      </c>
      <c r="B5" s="12" t="n">
        <v>18000</v>
      </c>
    </row>
    <row r="6">
      <c r="A6" s="7" t="inlineStr">
        <is>
          <t>Impuesto sobre ingresos (%)</t>
        </is>
      </c>
      <c r="B6" s="13" t="n">
        <v>0.16</v>
      </c>
    </row>
    <row r="7">
      <c r="A7" s="7" t="inlineStr">
        <is>
          <t>Meses a proyectar</t>
        </is>
      </c>
      <c r="B7" s="14" t="n">
        <v>12</v>
      </c>
    </row>
    <row r="9">
      <c r="A9" s="2" t="inlineStr">
        <is>
          <t>Concepto</t>
        </is>
      </c>
      <c r="B9" s="2" t="inlineStr">
        <is>
          <t>Enero</t>
        </is>
      </c>
      <c r="C9" s="2" t="inlineStr">
        <is>
          <t>Febrero</t>
        </is>
      </c>
      <c r="D9" s="2" t="inlineStr">
        <is>
          <t>Marzo</t>
        </is>
      </c>
      <c r="E9" s="2" t="inlineStr">
        <is>
          <t>Abril</t>
        </is>
      </c>
      <c r="F9" s="2" t="inlineStr">
        <is>
          <t>Mayo</t>
        </is>
      </c>
      <c r="G9" s="2" t="inlineStr">
        <is>
          <t>Junio</t>
        </is>
      </c>
      <c r="H9" s="2" t="inlineStr">
        <is>
          <t>Julio</t>
        </is>
      </c>
      <c r="I9" s="2" t="inlineStr">
        <is>
          <t>Agosto</t>
        </is>
      </c>
      <c r="J9" s="2" t="inlineStr">
        <is>
          <t>Septiembre</t>
        </is>
      </c>
      <c r="K9" s="2" t="inlineStr">
        <is>
          <t>Octubre</t>
        </is>
      </c>
      <c r="L9" s="2" t="inlineStr">
        <is>
          <t>Noviembre</t>
        </is>
      </c>
      <c r="M9" s="2" t="inlineStr">
        <is>
          <t>Diciembre</t>
        </is>
      </c>
    </row>
    <row r="10">
      <c r="A10" s="15" t="inlineStr">
        <is>
          <t>Ingresos brutos</t>
        </is>
      </c>
      <c r="B10" s="12">
        <f>$B$4</f>
        <v/>
      </c>
      <c r="C10" s="12">
        <f>$C$4</f>
        <v/>
      </c>
      <c r="D10" s="12">
        <f>$D$4</f>
        <v/>
      </c>
      <c r="E10" s="12">
        <f>$E$4</f>
        <v/>
      </c>
      <c r="F10" s="12">
        <f>$F$4</f>
        <v/>
      </c>
      <c r="G10" s="12">
        <f>$G$4</f>
        <v/>
      </c>
      <c r="H10" s="12">
        <f>$H$4</f>
        <v/>
      </c>
      <c r="I10" s="12">
        <f>$I$4</f>
        <v/>
      </c>
      <c r="J10" s="12">
        <f>$J$4</f>
        <v/>
      </c>
      <c r="K10" s="12">
        <f>$K$4</f>
        <v/>
      </c>
      <c r="L10" s="12">
        <f>$L$4</f>
        <v/>
      </c>
      <c r="M10" s="12">
        <f>$M$4</f>
        <v/>
      </c>
    </row>
    <row r="11">
      <c r="A11" s="15" t="inlineStr">
        <is>
          <t>Impuesto (IVA)</t>
        </is>
      </c>
      <c r="B11" s="12">
        <f>-B10*$B$6</f>
        <v/>
      </c>
      <c r="C11" s="12">
        <f>-C10*$C$6</f>
        <v/>
      </c>
      <c r="D11" s="12">
        <f>-D10*$D$6</f>
        <v/>
      </c>
      <c r="E11" s="12">
        <f>-E10*$E$6</f>
        <v/>
      </c>
      <c r="F11" s="12">
        <f>-F10*$F$6</f>
        <v/>
      </c>
      <c r="G11" s="12">
        <f>-G10*$G$6</f>
        <v/>
      </c>
      <c r="H11" s="12">
        <f>-H10*$H$6</f>
        <v/>
      </c>
      <c r="I11" s="12">
        <f>-I10*$I$6</f>
        <v/>
      </c>
      <c r="J11" s="12">
        <f>-J10*$J$6</f>
        <v/>
      </c>
      <c r="K11" s="12">
        <f>-K10*$K$6</f>
        <v/>
      </c>
      <c r="L11" s="12">
        <f>-L10*$L$6</f>
        <v/>
      </c>
      <c r="M11" s="12">
        <f>-M10*$M$6</f>
        <v/>
      </c>
    </row>
    <row r="12">
      <c r="A12" s="15" t="inlineStr">
        <is>
          <t>Costos fijos</t>
        </is>
      </c>
      <c r="B12" s="12">
        <f>-$B$5</f>
        <v/>
      </c>
      <c r="C12" s="12">
        <f>-$C$5</f>
        <v/>
      </c>
      <c r="D12" s="12">
        <f>-$D$5</f>
        <v/>
      </c>
      <c r="E12" s="12">
        <f>-$E$5</f>
        <v/>
      </c>
      <c r="F12" s="12">
        <f>-$F$5</f>
        <v/>
      </c>
      <c r="G12" s="12">
        <f>-$G$5</f>
        <v/>
      </c>
      <c r="H12" s="12">
        <f>-$H$5</f>
        <v/>
      </c>
      <c r="I12" s="12">
        <f>-$I$5</f>
        <v/>
      </c>
      <c r="J12" s="12">
        <f>-$J$5</f>
        <v/>
      </c>
      <c r="K12" s="12">
        <f>-$K$5</f>
        <v/>
      </c>
      <c r="L12" s="12">
        <f>-$L$5</f>
        <v/>
      </c>
      <c r="M12" s="12">
        <f>-$M$5</f>
        <v/>
      </c>
    </row>
    <row r="13">
      <c r="A13" s="16" t="inlineStr">
        <is>
          <t>FLUJO NETO</t>
        </is>
      </c>
      <c r="B13" s="8">
        <f>SUM(B10:B12)</f>
        <v/>
      </c>
      <c r="C13" s="8">
        <f>SUM(C10:C12)</f>
        <v/>
      </c>
      <c r="D13" s="8">
        <f>SUM(D10:D12)</f>
        <v/>
      </c>
      <c r="E13" s="8">
        <f>SUM(E10:E12)</f>
        <v/>
      </c>
      <c r="F13" s="8">
        <f>SUM(F10:F12)</f>
        <v/>
      </c>
      <c r="G13" s="8">
        <f>SUM(G10:G12)</f>
        <v/>
      </c>
      <c r="H13" s="8">
        <f>SUM(H10:H12)</f>
        <v/>
      </c>
      <c r="I13" s="8">
        <f>SUM(I10:I12)</f>
        <v/>
      </c>
      <c r="J13" s="8">
        <f>SUM(J10:J12)</f>
        <v/>
      </c>
      <c r="K13" s="8">
        <f>SUM(K10:K12)</f>
        <v/>
      </c>
      <c r="L13" s="8">
        <f>SUM(L10:L12)</f>
        <v/>
      </c>
      <c r="M13" s="8">
        <f>SUM(M10:M12)</f>
        <v/>
      </c>
    </row>
    <row r="14">
      <c r="A14" s="15" t="inlineStr">
        <is>
          <t>Acumulado</t>
        </is>
      </c>
      <c r="B14" s="12">
        <f>B13</f>
        <v/>
      </c>
      <c r="C14" s="12">
        <f>B14+C13</f>
        <v/>
      </c>
      <c r="D14" s="12">
        <f>C14+D13</f>
        <v/>
      </c>
      <c r="E14" s="12">
        <f>D14+E13</f>
        <v/>
      </c>
      <c r="F14" s="12">
        <f>E14+F13</f>
        <v/>
      </c>
      <c r="G14" s="12">
        <f>F14+G13</f>
        <v/>
      </c>
      <c r="H14" s="12">
        <f>G14+H13</f>
        <v/>
      </c>
      <c r="I14" s="12">
        <f>H14+I13</f>
        <v/>
      </c>
      <c r="J14" s="12">
        <f>I14+J13</f>
        <v/>
      </c>
      <c r="K14" s="12">
        <f>J14+K13</f>
        <v/>
      </c>
      <c r="L14" s="12">
        <f>K14+L13</f>
        <v/>
      </c>
      <c r="M14" s="12">
        <f>L14+M13</f>
        <v/>
      </c>
    </row>
    <row r="17">
      <c r="A17" s="6" t="inlineStr">
        <is>
          <t>Regla de supervivencia</t>
        </is>
      </c>
    </row>
    <row r="18" ht="32" customHeight="1">
      <c r="A18" s="17" t="inlineStr">
        <is>
          <t>Si el acumulado de la fila 14 se vuelve negativo, ese mes no cubres tus costos fijos. Mueve un ingreso o recorta gasto antes de que llegue ese mes.</t>
        </is>
      </c>
    </row>
    <row r="20">
      <c r="A20" s="11" t="inlineStr">
        <is>
          <t>Punto de equilibrio</t>
        </is>
      </c>
    </row>
    <row r="21">
      <c r="A21" s="7" t="inlineStr">
        <is>
          <t>Ingreso mensual necesario</t>
        </is>
      </c>
      <c r="B21" s="18">
        <f>$B$5/(1-$B$6)</f>
        <v/>
      </c>
    </row>
  </sheetData>
  <mergeCells count="2">
    <mergeCell ref="A1:E1"/>
    <mergeCell ref="A17:M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3" customWidth="1" min="4" max="4"/>
    <col width="15" customWidth="1" min="5" max="5"/>
    <col width="16" customWidth="1" min="6" max="6"/>
  </cols>
  <sheetData>
    <row r="1" ht="26" customHeight="1">
      <c r="A1" s="1" t="inlineStr">
        <is>
          <t>CUENTAS POR COBRAR — quién me debe qué</t>
        </is>
      </c>
    </row>
    <row r="3">
      <c r="A3" s="2" t="inlineStr">
        <is>
          <t>Cliente</t>
        </is>
      </c>
      <c r="B3" s="2" t="inlineStr">
        <is>
          <t>Factura</t>
        </is>
      </c>
      <c r="C3" s="2" t="inlineStr">
        <is>
          <t>Emitida</t>
        </is>
      </c>
      <c r="D3" s="2" t="inlineStr">
        <is>
          <t>Vence</t>
        </is>
      </c>
      <c r="E3" s="2" t="inlineStr">
        <is>
          <t>Monto</t>
        </is>
      </c>
      <c r="F3" s="2" t="inlineStr">
        <is>
          <t>Estado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6">
      <c r="A36" s="6" t="inlineStr">
        <is>
          <t>Resumen</t>
        </is>
      </c>
    </row>
    <row r="37">
      <c r="A37" s="7" t="inlineStr">
        <is>
          <t>Total facturado</t>
        </is>
      </c>
      <c r="B37" s="8">
        <f>SUM(E4:E33)</f>
        <v/>
      </c>
    </row>
    <row r="38">
      <c r="A38" s="7" t="inlineStr">
        <is>
          <t>Total pendiente</t>
        </is>
      </c>
      <c r="B38" s="8">
        <f>SUMIF(F4:F33,"Pendiente",E4:E33)</f>
        <v/>
      </c>
    </row>
    <row r="39">
      <c r="A39" s="7" t="inlineStr">
        <is>
          <t>Total pagado</t>
        </is>
      </c>
      <c r="B39" s="8">
        <f>SUMIF(F4:F33,"Pagada",E4:E33)</f>
        <v/>
      </c>
    </row>
    <row r="40">
      <c r="A40" s="7" t="inlineStr">
        <is>
          <t>% cobrado</t>
        </is>
      </c>
      <c r="B40" s="9">
        <f>IF(B37=0,0,B39/B37)</f>
        <v/>
      </c>
    </row>
    <row r="41">
      <c r="A41" s="19" t="inlineStr">
        <is>
          <t>Vencido (más de 30 días)</t>
        </is>
      </c>
      <c r="B41" s="20">
        <f>SUMPRODUCT((F4:F33="Pendiente")*(D4:D33&lt;TODAY())*E4:E33)</f>
        <v/>
      </c>
    </row>
    <row r="43">
      <c r="A43" s="10" t="inlineStr">
        <is>
          <t>Meta: si 'Vencido' supera el 20% de tu total facturado, deja de aceptar clientes que pagan a más de 30 días.</t>
        </is>
      </c>
    </row>
  </sheetData>
  <mergeCells count="2">
    <mergeCell ref="A1:F1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 ht="26" customHeight="1">
      <c r="A1" s="1" t="inlineStr">
        <is>
          <t>CÓMO USAR ESTE PACK</t>
        </is>
      </c>
    </row>
    <row r="3" ht="36" customHeight="1">
      <c r="A3" s="21" t="inlineStr">
        <is>
          <t>Gastos</t>
        </is>
      </c>
      <c r="B3" s="17" t="inlineStr">
        <is>
          <t>Registra cada gasto con fecha, categoría y si es deducible. Al final del mes revisa el % deducible: cuanto más alto, menos pagas de impuestos.</t>
        </is>
      </c>
    </row>
    <row r="4" ht="36" customHeight="1">
      <c r="A4" s="21" t="inlineStr">
        <is>
          <t>Flujo 12 meses</t>
        </is>
      </c>
      <c r="B4" s="17" t="inlineStr">
        <is>
          <t>Pon tu ingreso promedio y tus costos fijos. La fila 13 te dice cuánto te queda cada mes; la 14, cuánto acumulas. Si la 14 se pone roja, corrige.</t>
        </is>
      </c>
    </row>
    <row r="5" ht="36" customHeight="1">
      <c r="A5" s="21" t="inlineStr">
        <is>
          <t>Facturas pendientes</t>
        </is>
      </c>
      <c r="B5" s="17" t="inlineStr">
        <is>
          <t>Una fila por factura emitida. Marca 'Pagada' cuando cobre. La fila 41 te avisa cuánto te deben vencido — ese dinero no lo tienes.</t>
        </is>
      </c>
    </row>
    <row r="6" ht="36" customHeight="1">
      <c r="A6" s="21" t="inlineStr">
        <is>
          <t>Regla de oro</t>
        </is>
      </c>
      <c r="B6" s="17" t="inlineStr">
        <is>
          <t>Cobra anticipo. Un proyecto que te paga a 60 días no es un proyecto, es un préstamo sin contrato.</t>
        </is>
      </c>
    </row>
    <row r="7" ht="36" customHeight="1">
      <c r="A7" s="21" t="inlineStr">
        <is>
          <t>Aviso</t>
        </is>
      </c>
      <c r="B7" s="17" t="inlineStr">
        <is>
          <t>Herramienta de trabajo, no asesoría fiscal. Consulta a un contador.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2026-09-27T08:38:36Z</dcterms:created>
  <dcterms:modified xsi:type="dcterms:W3CDTF">2026-09-27T08:38:36Z</dcterms:modified>
</cp:coreProperties>
</file>